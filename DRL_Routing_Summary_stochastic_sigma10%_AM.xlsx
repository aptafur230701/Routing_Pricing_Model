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9faf7a5fe1343c6/Desktop/Maestria/Tesis MSc/RoutingModel/"/>
    </mc:Choice>
  </mc:AlternateContent>
  <xr:revisionPtr revIDLastSave="9" documentId="11_8B418FE7368C1531740899143A358AD3C21C4B49" xr6:coauthVersionLast="47" xr6:coauthVersionMax="47" xr10:uidLastSave="{7A928560-A151-4C0A-A735-5B574C8EDA3E}"/>
  <bookViews>
    <workbookView xWindow="-108" yWindow="-108" windowWidth="23256" windowHeight="12456" xr2:uid="{00000000-000D-0000-FFFF-FFFF00000000}"/>
  </bookViews>
  <sheets>
    <sheet name="Per Node 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3" i="1" l="1"/>
  <c r="AM13" i="1"/>
  <c r="AN13" i="1"/>
  <c r="AO13" i="1"/>
  <c r="AP13" i="1"/>
  <c r="AQ13" i="1"/>
</calcChain>
</file>

<file path=xl/sharedStrings.xml><?xml version="1.0" encoding="utf-8"?>
<sst xmlns="http://schemas.openxmlformats.org/spreadsheetml/2006/main" count="168" uniqueCount="88">
  <si>
    <t>Start Node</t>
  </si>
  <si>
    <t>Day Index</t>
  </si>
  <si>
    <t>DRL Route</t>
  </si>
  <si>
    <t>DRL Det Reward</t>
  </si>
  <si>
    <t>DRL Duration</t>
  </si>
  <si>
    <t>DRL Valid</t>
  </si>
  <si>
    <t>DRL Stoch Mean</t>
  </si>
  <si>
    <t>DRL Stoch Std</t>
  </si>
  <si>
    <t>DRL Stoch Valid%</t>
  </si>
  <si>
    <t>MIP Status</t>
  </si>
  <si>
    <t>MIP Route</t>
  </si>
  <si>
    <t>MIP Reward</t>
  </si>
  <si>
    <t>MIP Duration</t>
  </si>
  <si>
    <t>MIP Valid</t>
  </si>
  <si>
    <t>Heuristic Route</t>
  </si>
  <si>
    <t>Heuristic Reward</t>
  </si>
  <si>
    <t>Heuristic Duration</t>
  </si>
  <si>
    <t>Heuristic Valid</t>
  </si>
  <si>
    <t>2Opt Route</t>
  </si>
  <si>
    <t>2Opt Reward</t>
  </si>
  <si>
    <t>2Opt Duration</t>
  </si>
  <si>
    <t>2Opt Valid</t>
  </si>
  <si>
    <t>GA Status</t>
  </si>
  <si>
    <t>GA Route</t>
  </si>
  <si>
    <t>GA Reward</t>
  </si>
  <si>
    <t>GA Duration</t>
  </si>
  <si>
    <t>GA Valid</t>
  </si>
  <si>
    <t>LNS Status</t>
  </si>
  <si>
    <t>LNS Route</t>
  </si>
  <si>
    <t>LNS Reward</t>
  </si>
  <si>
    <t>LNS Duration</t>
  </si>
  <si>
    <t>LNS Valid</t>
  </si>
  <si>
    <t>HGA-LNS Status</t>
  </si>
  <si>
    <t>HGA-LNS Route</t>
  </si>
  <si>
    <t>HGA-LNS Reward</t>
  </si>
  <si>
    <t>HGA-LNS Duration</t>
  </si>
  <si>
    <t>HGA-LNS Valid</t>
  </si>
  <si>
    <t>DRL Gap (%)</t>
  </si>
  <si>
    <t>Heuristic Gap (%)</t>
  </si>
  <si>
    <t>2Opt Gap (%)</t>
  </si>
  <si>
    <t>GA Gap (%)</t>
  </si>
  <si>
    <t>LNS Gap (%)</t>
  </si>
  <si>
    <t>HGA-LNS Gap (%)</t>
  </si>
  <si>
    <t>[0, 6, 7, 1, 0]</t>
  </si>
  <si>
    <t>Optimal</t>
  </si>
  <si>
    <t>[0, 1, 2, 0]</t>
  </si>
  <si>
    <t>[0, 2, 1, 0]</t>
  </si>
  <si>
    <t>[1, 0, 6, 7, 1]</t>
  </si>
  <si>
    <t>[1, 0, 2, 8, 1]</t>
  </si>
  <si>
    <t>[1, 2, 8, 6, 1]</t>
  </si>
  <si>
    <t>[1, 6, 7, 8, 1]</t>
  </si>
  <si>
    <t>[2, 6, 7, 8, 2]</t>
  </si>
  <si>
    <t>[2, 8, 7, 6, 2]</t>
  </si>
  <si>
    <t>[2, 4, 2]</t>
  </si>
  <si>
    <t>[3, 4, 5, 3]</t>
  </si>
  <si>
    <t>[3, 5, 4, 3]</t>
  </si>
  <si>
    <t>[4, 2, 8, 4]</t>
  </si>
  <si>
    <t>[4, 8, 2, 4]</t>
  </si>
  <si>
    <t>[5, 3, 4, 5]</t>
  </si>
  <si>
    <t>[5, 4, 3, 5]</t>
  </si>
  <si>
    <t>[6, 0, 1, 7, 6]</t>
  </si>
  <si>
    <t>[6, 2, 8, 1, 6]</t>
  </si>
  <si>
    <t>[6, 2, 1, 6]</t>
  </si>
  <si>
    <t>[7, 6, 2, 7]</t>
  </si>
  <si>
    <t>[7, 2, 6, 7]</t>
  </si>
  <si>
    <t>[8, 0, 1, 2, 8]</t>
  </si>
  <si>
    <t>[8, 2, 1, 0, 8]</t>
  </si>
  <si>
    <t>[8, 1, 2, 8]</t>
  </si>
  <si>
    <t>[8, 1, 0, 2, 8]</t>
  </si>
  <si>
    <t>[9, 6, 1, 9]</t>
  </si>
  <si>
    <t>[9, 1, 6, 9]</t>
  </si>
  <si>
    <t>[9]</t>
  </si>
  <si>
    <t>-inf</t>
  </si>
  <si>
    <t>[9, 2, 8, 1, 9]</t>
  </si>
  <si>
    <t>Infeasible</t>
  </si>
  <si>
    <t>inf</t>
  </si>
  <si>
    <t>Model</t>
  </si>
  <si>
    <t>Node Size</t>
  </si>
  <si>
    <t>MIP Avg Reward</t>
  </si>
  <si>
    <t>DRL Avg Reward</t>
  </si>
  <si>
    <t>Heuristic Avg</t>
  </si>
  <si>
    <t>2Opt Avg</t>
  </si>
  <si>
    <t>GA Avg</t>
  </si>
  <si>
    <t>LNS Avg</t>
  </si>
  <si>
    <t>HGA-LNS Avg</t>
  </si>
  <si>
    <t>DRL Training Time</t>
  </si>
  <si>
    <t>DRL Avg Gap (%)</t>
  </si>
  <si>
    <t>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</si>
</sst>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"/>
  <sheetViews>
    <sheetView tabSelected="1" workbookViewId="0">
      <selection activeCell="A13" sqref="A13"/>
    </sheetView>
  </sheetViews>
  <sheetFormatPr baseColWidth="10" defaultColWidth="8.88671875" defaultRowHeight="14.4" x14ac:dyDescent="0.3"/>
  <cols>
    <col min="3" max="3" width="14.33203125" customWidth="1"/>
    <col min="38" max="38" width="15.5546875" customWidth="1"/>
    <col min="39" max="39" width="19.109375" customWidth="1"/>
  </cols>
  <sheetData>
    <row r="1" spans="1:4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spans="1:43" x14ac:dyDescent="0.3">
      <c r="A2">
        <v>0</v>
      </c>
      <c r="B2">
        <v>51</v>
      </c>
      <c r="C2" t="s">
        <v>43</v>
      </c>
      <c r="D2">
        <v>2403</v>
      </c>
      <c r="E2">
        <v>74.09</v>
      </c>
      <c r="F2" t="b">
        <v>1</v>
      </c>
      <c r="G2">
        <v>2360.242422582282</v>
      </c>
      <c r="H2">
        <v>440.6687375381195</v>
      </c>
      <c r="I2">
        <v>100</v>
      </c>
      <c r="J2" t="s">
        <v>44</v>
      </c>
      <c r="K2" t="s">
        <v>45</v>
      </c>
      <c r="L2">
        <v>3424</v>
      </c>
      <c r="M2">
        <v>68.25</v>
      </c>
      <c r="N2" t="b">
        <v>1</v>
      </c>
      <c r="O2" t="s">
        <v>46</v>
      </c>
      <c r="P2">
        <v>3275</v>
      </c>
      <c r="Q2">
        <v>68.179999999999993</v>
      </c>
      <c r="R2" t="b">
        <v>1</v>
      </c>
      <c r="S2" t="s">
        <v>45</v>
      </c>
      <c r="T2">
        <v>3424</v>
      </c>
      <c r="U2">
        <v>68.25</v>
      </c>
      <c r="V2" t="b">
        <v>1</v>
      </c>
      <c r="W2" t="s">
        <v>44</v>
      </c>
      <c r="X2" t="s">
        <v>45</v>
      </c>
      <c r="Y2">
        <v>3424</v>
      </c>
      <c r="Z2">
        <v>68.25</v>
      </c>
      <c r="AA2" t="b">
        <v>1</v>
      </c>
      <c r="AB2" t="s">
        <v>44</v>
      </c>
      <c r="AC2" t="s">
        <v>46</v>
      </c>
      <c r="AD2">
        <v>3275</v>
      </c>
      <c r="AE2">
        <v>68.179999999999993</v>
      </c>
      <c r="AF2" t="b">
        <v>1</v>
      </c>
      <c r="AG2" t="s">
        <v>44</v>
      </c>
      <c r="AH2" t="s">
        <v>45</v>
      </c>
      <c r="AI2">
        <v>3424</v>
      </c>
      <c r="AJ2">
        <v>68.25</v>
      </c>
      <c r="AK2" t="b">
        <v>1</v>
      </c>
      <c r="AL2">
        <v>29.818925233644858</v>
      </c>
      <c r="AM2">
        <v>4.3516355140186924</v>
      </c>
      <c r="AN2">
        <v>0</v>
      </c>
      <c r="AO2">
        <v>0</v>
      </c>
      <c r="AP2">
        <v>4.3516355140186924</v>
      </c>
      <c r="AQ2">
        <v>0</v>
      </c>
    </row>
    <row r="3" spans="1:43" x14ac:dyDescent="0.3">
      <c r="A3">
        <v>1</v>
      </c>
      <c r="B3">
        <v>61</v>
      </c>
      <c r="C3" t="s">
        <v>47</v>
      </c>
      <c r="D3">
        <v>3284</v>
      </c>
      <c r="E3">
        <v>74.09</v>
      </c>
      <c r="F3" t="b">
        <v>1</v>
      </c>
      <c r="G3">
        <v>3416.1097767738888</v>
      </c>
      <c r="H3">
        <v>430.07934961368261</v>
      </c>
      <c r="I3">
        <v>100</v>
      </c>
      <c r="J3" t="s">
        <v>44</v>
      </c>
      <c r="K3" t="s">
        <v>48</v>
      </c>
      <c r="L3">
        <v>4600</v>
      </c>
      <c r="M3">
        <v>76.949999999999989</v>
      </c>
      <c r="N3" t="b">
        <v>1</v>
      </c>
      <c r="O3" t="s">
        <v>49</v>
      </c>
      <c r="P3">
        <v>1661</v>
      </c>
      <c r="Q3">
        <v>66.38</v>
      </c>
      <c r="R3" t="b">
        <v>1</v>
      </c>
      <c r="S3" t="s">
        <v>49</v>
      </c>
      <c r="T3">
        <v>1661</v>
      </c>
      <c r="U3">
        <v>66.38</v>
      </c>
      <c r="V3" t="b">
        <v>1</v>
      </c>
      <c r="W3" t="s">
        <v>44</v>
      </c>
      <c r="X3" t="s">
        <v>48</v>
      </c>
      <c r="Y3">
        <v>4600</v>
      </c>
      <c r="Z3">
        <v>76.949999999999989</v>
      </c>
      <c r="AA3" t="b">
        <v>1</v>
      </c>
      <c r="AB3" t="s">
        <v>44</v>
      </c>
      <c r="AC3" t="s">
        <v>49</v>
      </c>
      <c r="AD3">
        <v>1661</v>
      </c>
      <c r="AE3">
        <v>66.38</v>
      </c>
      <c r="AF3" t="b">
        <v>1</v>
      </c>
      <c r="AG3" t="s">
        <v>44</v>
      </c>
      <c r="AH3" t="s">
        <v>50</v>
      </c>
      <c r="AI3">
        <v>3987</v>
      </c>
      <c r="AJ3">
        <v>73.150000000000006</v>
      </c>
      <c r="AK3" t="b">
        <v>1</v>
      </c>
      <c r="AL3">
        <v>28.60869565217391</v>
      </c>
      <c r="AM3">
        <v>63.891304347826093</v>
      </c>
      <c r="AN3">
        <v>63.891304347826093</v>
      </c>
      <c r="AO3">
        <v>0</v>
      </c>
      <c r="AP3">
        <v>63.891304347826093</v>
      </c>
      <c r="AQ3">
        <v>13.32608695652174</v>
      </c>
    </row>
    <row r="4" spans="1:43" x14ac:dyDescent="0.3">
      <c r="A4">
        <v>2</v>
      </c>
      <c r="B4">
        <v>82</v>
      </c>
      <c r="C4" t="s">
        <v>51</v>
      </c>
      <c r="D4">
        <v>3942</v>
      </c>
      <c r="E4">
        <v>70.449999999999989</v>
      </c>
      <c r="F4" t="b">
        <v>1</v>
      </c>
      <c r="G4">
        <v>3983.0152287408432</v>
      </c>
      <c r="H4">
        <v>419.55948863432269</v>
      </c>
      <c r="I4">
        <v>100</v>
      </c>
      <c r="J4" t="s">
        <v>44</v>
      </c>
      <c r="K4" t="s">
        <v>52</v>
      </c>
      <c r="L4">
        <v>3942</v>
      </c>
      <c r="M4">
        <v>70.45</v>
      </c>
      <c r="N4" t="b">
        <v>1</v>
      </c>
      <c r="O4" t="s">
        <v>53</v>
      </c>
      <c r="P4">
        <v>1834</v>
      </c>
      <c r="Q4">
        <v>55.8</v>
      </c>
      <c r="R4" t="b">
        <v>1</v>
      </c>
      <c r="S4" t="s">
        <v>53</v>
      </c>
      <c r="T4">
        <v>1834</v>
      </c>
      <c r="U4">
        <v>55.8</v>
      </c>
      <c r="V4" t="b">
        <v>1</v>
      </c>
      <c r="W4" t="s">
        <v>44</v>
      </c>
      <c r="X4" t="s">
        <v>52</v>
      </c>
      <c r="Y4">
        <v>3942</v>
      </c>
      <c r="Z4">
        <v>70.449999999999989</v>
      </c>
      <c r="AA4" t="b">
        <v>1</v>
      </c>
      <c r="AB4" t="s">
        <v>44</v>
      </c>
      <c r="AC4" t="s">
        <v>53</v>
      </c>
      <c r="AD4">
        <v>1834</v>
      </c>
      <c r="AE4">
        <v>55.8</v>
      </c>
      <c r="AF4" t="b">
        <v>1</v>
      </c>
      <c r="AG4" t="s">
        <v>44</v>
      </c>
      <c r="AH4" t="s">
        <v>52</v>
      </c>
      <c r="AI4">
        <v>3942</v>
      </c>
      <c r="AJ4">
        <v>70.449999999999989</v>
      </c>
      <c r="AK4" t="b">
        <v>1</v>
      </c>
      <c r="AL4">
        <v>0</v>
      </c>
      <c r="AM4">
        <v>53.475393201420587</v>
      </c>
      <c r="AN4">
        <v>53.475393201420587</v>
      </c>
      <c r="AO4">
        <v>0</v>
      </c>
      <c r="AP4">
        <v>53.475393201420587</v>
      </c>
      <c r="AQ4">
        <v>0</v>
      </c>
    </row>
    <row r="5" spans="1:43" x14ac:dyDescent="0.3">
      <c r="A5">
        <v>3</v>
      </c>
      <c r="B5">
        <v>5</v>
      </c>
      <c r="C5" t="s">
        <v>54</v>
      </c>
      <c r="D5">
        <v>1886</v>
      </c>
      <c r="E5">
        <v>54.16</v>
      </c>
      <c r="F5" t="b">
        <v>1</v>
      </c>
      <c r="G5">
        <v>1946.1447474123879</v>
      </c>
      <c r="H5">
        <v>373.16155105572739</v>
      </c>
      <c r="I5">
        <v>100</v>
      </c>
      <c r="J5" t="s">
        <v>44</v>
      </c>
      <c r="K5" t="s">
        <v>55</v>
      </c>
      <c r="L5">
        <v>1886</v>
      </c>
      <c r="M5">
        <v>54.16</v>
      </c>
      <c r="N5" t="b">
        <v>1</v>
      </c>
      <c r="O5" t="s">
        <v>55</v>
      </c>
      <c r="P5">
        <v>1886</v>
      </c>
      <c r="Q5">
        <v>54.16</v>
      </c>
      <c r="R5" t="b">
        <v>1</v>
      </c>
      <c r="S5" t="s">
        <v>55</v>
      </c>
      <c r="T5">
        <v>1886</v>
      </c>
      <c r="U5">
        <v>54.16</v>
      </c>
      <c r="V5" t="b">
        <v>1</v>
      </c>
      <c r="W5" t="s">
        <v>44</v>
      </c>
      <c r="X5" t="s">
        <v>55</v>
      </c>
      <c r="Y5">
        <v>1886</v>
      </c>
      <c r="Z5">
        <v>54.16</v>
      </c>
      <c r="AA5" t="b">
        <v>1</v>
      </c>
      <c r="AB5" t="s">
        <v>44</v>
      </c>
      <c r="AC5" t="s">
        <v>55</v>
      </c>
      <c r="AD5">
        <v>1886</v>
      </c>
      <c r="AE5">
        <v>54.16</v>
      </c>
      <c r="AF5" t="b">
        <v>1</v>
      </c>
      <c r="AG5" t="s">
        <v>44</v>
      </c>
      <c r="AH5" t="s">
        <v>55</v>
      </c>
      <c r="AI5">
        <v>1886</v>
      </c>
      <c r="AJ5">
        <v>54.16</v>
      </c>
      <c r="AK5" t="b">
        <v>1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3">
      <c r="A6">
        <v>4</v>
      </c>
      <c r="B6">
        <v>37</v>
      </c>
      <c r="C6" t="s">
        <v>56</v>
      </c>
      <c r="D6">
        <v>2487</v>
      </c>
      <c r="E6">
        <v>72.3</v>
      </c>
      <c r="F6" t="b">
        <v>1</v>
      </c>
      <c r="G6">
        <v>2466.0406641759591</v>
      </c>
      <c r="H6">
        <v>304.92217063366388</v>
      </c>
      <c r="I6">
        <v>100</v>
      </c>
      <c r="J6" t="s">
        <v>44</v>
      </c>
      <c r="K6" t="s">
        <v>57</v>
      </c>
      <c r="L6">
        <v>2487</v>
      </c>
      <c r="M6">
        <v>72.3</v>
      </c>
      <c r="N6" t="b">
        <v>1</v>
      </c>
      <c r="O6" t="s">
        <v>57</v>
      </c>
      <c r="P6">
        <v>2487</v>
      </c>
      <c r="Q6">
        <v>72.3</v>
      </c>
      <c r="R6" t="b">
        <v>1</v>
      </c>
      <c r="S6" t="s">
        <v>57</v>
      </c>
      <c r="T6">
        <v>2487</v>
      </c>
      <c r="U6">
        <v>72.3</v>
      </c>
      <c r="V6" t="b">
        <v>1</v>
      </c>
      <c r="W6" t="s">
        <v>44</v>
      </c>
      <c r="X6" t="s">
        <v>57</v>
      </c>
      <c r="Y6">
        <v>2487</v>
      </c>
      <c r="Z6">
        <v>72.3</v>
      </c>
      <c r="AA6" t="b">
        <v>1</v>
      </c>
      <c r="AB6" t="s">
        <v>44</v>
      </c>
      <c r="AC6" t="s">
        <v>57</v>
      </c>
      <c r="AD6">
        <v>2487</v>
      </c>
      <c r="AE6">
        <v>72.3</v>
      </c>
      <c r="AF6" t="b">
        <v>1</v>
      </c>
      <c r="AG6" t="s">
        <v>44</v>
      </c>
      <c r="AH6" t="s">
        <v>57</v>
      </c>
      <c r="AI6">
        <v>2487</v>
      </c>
      <c r="AJ6">
        <v>72.3</v>
      </c>
      <c r="AK6" t="b">
        <v>1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</row>
    <row r="7" spans="1:43" x14ac:dyDescent="0.3">
      <c r="A7">
        <v>5</v>
      </c>
      <c r="B7">
        <v>62</v>
      </c>
      <c r="C7" t="s">
        <v>58</v>
      </c>
      <c r="D7">
        <v>2183</v>
      </c>
      <c r="E7">
        <v>54.16</v>
      </c>
      <c r="F7" t="b">
        <v>1</v>
      </c>
      <c r="G7">
        <v>2205.8942248808889</v>
      </c>
      <c r="H7">
        <v>358.04336816981629</v>
      </c>
      <c r="I7">
        <v>100</v>
      </c>
      <c r="J7" t="s">
        <v>44</v>
      </c>
      <c r="K7" t="s">
        <v>59</v>
      </c>
      <c r="L7">
        <v>2183</v>
      </c>
      <c r="M7">
        <v>54.16</v>
      </c>
      <c r="N7" t="b">
        <v>1</v>
      </c>
      <c r="O7" t="s">
        <v>59</v>
      </c>
      <c r="P7">
        <v>2183</v>
      </c>
      <c r="Q7">
        <v>54.16</v>
      </c>
      <c r="R7" t="b">
        <v>1</v>
      </c>
      <c r="S7" t="s">
        <v>59</v>
      </c>
      <c r="T7">
        <v>2183</v>
      </c>
      <c r="U7">
        <v>54.16</v>
      </c>
      <c r="V7" t="b">
        <v>1</v>
      </c>
      <c r="W7" t="s">
        <v>44</v>
      </c>
      <c r="X7" t="s">
        <v>59</v>
      </c>
      <c r="Y7">
        <v>2183</v>
      </c>
      <c r="Z7">
        <v>54.16</v>
      </c>
      <c r="AA7" t="b">
        <v>1</v>
      </c>
      <c r="AB7" t="s">
        <v>44</v>
      </c>
      <c r="AC7" t="s">
        <v>59</v>
      </c>
      <c r="AD7">
        <v>2183</v>
      </c>
      <c r="AE7">
        <v>54.16</v>
      </c>
      <c r="AF7" t="b">
        <v>1</v>
      </c>
      <c r="AG7" t="s">
        <v>44</v>
      </c>
      <c r="AH7" t="s">
        <v>59</v>
      </c>
      <c r="AI7">
        <v>2183</v>
      </c>
      <c r="AJ7">
        <v>54.16</v>
      </c>
      <c r="AK7" t="b">
        <v>1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</row>
    <row r="8" spans="1:43" x14ac:dyDescent="0.3">
      <c r="A8">
        <v>6</v>
      </c>
      <c r="B8">
        <v>34</v>
      </c>
      <c r="C8" t="s">
        <v>60</v>
      </c>
      <c r="D8">
        <v>3449</v>
      </c>
      <c r="E8">
        <v>74.59</v>
      </c>
      <c r="F8" t="b">
        <v>1</v>
      </c>
      <c r="G8">
        <v>3443.7589494943331</v>
      </c>
      <c r="H8">
        <v>391.10814814573399</v>
      </c>
      <c r="I8">
        <v>100</v>
      </c>
      <c r="J8" t="s">
        <v>44</v>
      </c>
      <c r="K8" t="s">
        <v>61</v>
      </c>
      <c r="L8">
        <v>4842</v>
      </c>
      <c r="M8">
        <v>71.099999999999994</v>
      </c>
      <c r="N8" t="b">
        <v>1</v>
      </c>
      <c r="O8" t="s">
        <v>62</v>
      </c>
      <c r="P8">
        <v>4691</v>
      </c>
      <c r="Q8">
        <v>62.33</v>
      </c>
      <c r="R8" t="b">
        <v>1</v>
      </c>
      <c r="S8" t="s">
        <v>61</v>
      </c>
      <c r="T8">
        <v>4842</v>
      </c>
      <c r="U8">
        <v>71.099999999999994</v>
      </c>
      <c r="V8" t="b">
        <v>1</v>
      </c>
      <c r="W8" t="s">
        <v>44</v>
      </c>
      <c r="X8" t="s">
        <v>62</v>
      </c>
      <c r="Y8">
        <v>4691</v>
      </c>
      <c r="Z8">
        <v>62.33</v>
      </c>
      <c r="AA8" t="b">
        <v>1</v>
      </c>
      <c r="AB8" t="s">
        <v>44</v>
      </c>
      <c r="AC8" t="s">
        <v>62</v>
      </c>
      <c r="AD8">
        <v>4691</v>
      </c>
      <c r="AE8">
        <v>62.33</v>
      </c>
      <c r="AF8" t="b">
        <v>1</v>
      </c>
      <c r="AG8" t="s">
        <v>44</v>
      </c>
      <c r="AH8" t="s">
        <v>62</v>
      </c>
      <c r="AI8">
        <v>4691</v>
      </c>
      <c r="AJ8">
        <v>62.33</v>
      </c>
      <c r="AK8" t="b">
        <v>1</v>
      </c>
      <c r="AL8">
        <v>28.769103676166871</v>
      </c>
      <c r="AM8">
        <v>3.1185460553490292</v>
      </c>
      <c r="AN8">
        <v>0</v>
      </c>
      <c r="AO8">
        <v>3.1185460553490292</v>
      </c>
      <c r="AP8">
        <v>3.1185460553490292</v>
      </c>
      <c r="AQ8">
        <v>3.1185460553490292</v>
      </c>
    </row>
    <row r="9" spans="1:43" x14ac:dyDescent="0.3">
      <c r="A9">
        <v>7</v>
      </c>
      <c r="B9">
        <v>78</v>
      </c>
      <c r="C9" t="s">
        <v>63</v>
      </c>
      <c r="D9">
        <v>3681</v>
      </c>
      <c r="E9">
        <v>66.430000000000007</v>
      </c>
      <c r="F9" t="b">
        <v>1</v>
      </c>
      <c r="G9">
        <v>3676.3394265887018</v>
      </c>
      <c r="H9">
        <v>367.94400640819322</v>
      </c>
      <c r="I9">
        <v>100</v>
      </c>
      <c r="J9" t="s">
        <v>44</v>
      </c>
      <c r="K9" t="s">
        <v>64</v>
      </c>
      <c r="L9">
        <v>3681</v>
      </c>
      <c r="M9">
        <v>66.430000000000007</v>
      </c>
      <c r="N9" t="b">
        <v>1</v>
      </c>
      <c r="O9" t="s">
        <v>64</v>
      </c>
      <c r="P9">
        <v>3681</v>
      </c>
      <c r="Q9">
        <v>66.430000000000007</v>
      </c>
      <c r="R9" t="b">
        <v>1</v>
      </c>
      <c r="S9" t="s">
        <v>64</v>
      </c>
      <c r="T9">
        <v>3681</v>
      </c>
      <c r="U9">
        <v>66.430000000000007</v>
      </c>
      <c r="V9" t="b">
        <v>1</v>
      </c>
      <c r="W9" t="s">
        <v>44</v>
      </c>
      <c r="X9" t="s">
        <v>64</v>
      </c>
      <c r="Y9">
        <v>3681</v>
      </c>
      <c r="Z9">
        <v>66.430000000000007</v>
      </c>
      <c r="AA9" t="b">
        <v>1</v>
      </c>
      <c r="AB9" t="s">
        <v>44</v>
      </c>
      <c r="AC9" t="s">
        <v>64</v>
      </c>
      <c r="AD9">
        <v>3681</v>
      </c>
      <c r="AE9">
        <v>66.430000000000007</v>
      </c>
      <c r="AF9" t="b">
        <v>1</v>
      </c>
      <c r="AG9" t="s">
        <v>44</v>
      </c>
      <c r="AH9" t="s">
        <v>64</v>
      </c>
      <c r="AI9">
        <v>3681</v>
      </c>
      <c r="AJ9">
        <v>66.430000000000007</v>
      </c>
      <c r="AK9" t="b">
        <v>1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</row>
    <row r="10" spans="1:43" x14ac:dyDescent="0.3">
      <c r="A10">
        <v>8</v>
      </c>
      <c r="B10">
        <v>0</v>
      </c>
      <c r="C10" t="s">
        <v>65</v>
      </c>
      <c r="D10">
        <v>3415</v>
      </c>
      <c r="E10">
        <v>75.17</v>
      </c>
      <c r="F10" t="b">
        <v>1</v>
      </c>
      <c r="G10">
        <v>3448.205871494717</v>
      </c>
      <c r="H10">
        <v>419.29308590854788</v>
      </c>
      <c r="I10">
        <v>100</v>
      </c>
      <c r="J10" t="s">
        <v>44</v>
      </c>
      <c r="K10" t="s">
        <v>66</v>
      </c>
      <c r="L10">
        <v>3415</v>
      </c>
      <c r="M10">
        <v>75.17</v>
      </c>
      <c r="N10" t="b">
        <v>1</v>
      </c>
      <c r="O10" t="s">
        <v>67</v>
      </c>
      <c r="P10">
        <v>2383</v>
      </c>
      <c r="Q10">
        <v>49.81</v>
      </c>
      <c r="R10" t="b">
        <v>1</v>
      </c>
      <c r="S10" t="s">
        <v>68</v>
      </c>
      <c r="T10">
        <v>3257</v>
      </c>
      <c r="U10">
        <v>76.949999999999989</v>
      </c>
      <c r="V10" t="b">
        <v>1</v>
      </c>
      <c r="W10" t="s">
        <v>44</v>
      </c>
      <c r="X10" t="s">
        <v>66</v>
      </c>
      <c r="Y10">
        <v>3415</v>
      </c>
      <c r="Z10">
        <v>75.17</v>
      </c>
      <c r="AA10" t="b">
        <v>1</v>
      </c>
      <c r="AB10" t="s">
        <v>44</v>
      </c>
      <c r="AC10" t="s">
        <v>67</v>
      </c>
      <c r="AD10">
        <v>2383</v>
      </c>
      <c r="AE10">
        <v>49.81</v>
      </c>
      <c r="AF10" t="b">
        <v>1</v>
      </c>
      <c r="AG10" t="s">
        <v>44</v>
      </c>
      <c r="AH10" t="s">
        <v>66</v>
      </c>
      <c r="AI10">
        <v>3415</v>
      </c>
      <c r="AJ10">
        <v>75.17</v>
      </c>
      <c r="AK10" t="b">
        <v>1</v>
      </c>
      <c r="AL10">
        <v>0</v>
      </c>
      <c r="AM10">
        <v>30.21961932650073</v>
      </c>
      <c r="AN10">
        <v>4.6266471449487554</v>
      </c>
      <c r="AO10">
        <v>0</v>
      </c>
      <c r="AP10">
        <v>30.21961932650073</v>
      </c>
      <c r="AQ10">
        <v>0</v>
      </c>
    </row>
    <row r="11" spans="1:43" x14ac:dyDescent="0.3">
      <c r="A11">
        <v>9</v>
      </c>
      <c r="B11">
        <v>14</v>
      </c>
      <c r="C11" t="s">
        <v>69</v>
      </c>
      <c r="D11">
        <v>788</v>
      </c>
      <c r="E11">
        <v>76.650000000000006</v>
      </c>
      <c r="F11" t="b">
        <v>1</v>
      </c>
      <c r="G11">
        <v>720.80446795516764</v>
      </c>
      <c r="H11">
        <v>354.89192131506701</v>
      </c>
      <c r="I11">
        <v>100</v>
      </c>
      <c r="J11" t="s">
        <v>44</v>
      </c>
      <c r="K11" t="s">
        <v>70</v>
      </c>
      <c r="L11">
        <v>788</v>
      </c>
      <c r="M11">
        <v>76.650000000000006</v>
      </c>
      <c r="N11" t="b">
        <v>1</v>
      </c>
      <c r="O11" t="s">
        <v>71</v>
      </c>
      <c r="P11" t="s">
        <v>72</v>
      </c>
      <c r="Q11">
        <v>0</v>
      </c>
      <c r="R11" t="b">
        <v>0</v>
      </c>
      <c r="S11" t="s">
        <v>71</v>
      </c>
      <c r="T11" t="s">
        <v>72</v>
      </c>
      <c r="U11">
        <v>0</v>
      </c>
      <c r="V11" t="b">
        <v>0</v>
      </c>
      <c r="W11" t="s">
        <v>44</v>
      </c>
      <c r="X11" t="s">
        <v>73</v>
      </c>
      <c r="Y11">
        <v>-1836</v>
      </c>
      <c r="Z11">
        <v>73.75</v>
      </c>
      <c r="AA11" t="b">
        <v>1</v>
      </c>
      <c r="AB11" t="s">
        <v>74</v>
      </c>
      <c r="AD11" t="s">
        <v>72</v>
      </c>
      <c r="AE11" t="s">
        <v>75</v>
      </c>
      <c r="AF11" t="b">
        <v>0</v>
      </c>
      <c r="AG11" t="s">
        <v>44</v>
      </c>
      <c r="AH11" t="s">
        <v>73</v>
      </c>
      <c r="AI11">
        <v>-1836</v>
      </c>
      <c r="AJ11">
        <v>73.75</v>
      </c>
      <c r="AK11" t="b">
        <v>1</v>
      </c>
      <c r="AL11">
        <v>0</v>
      </c>
      <c r="AO11">
        <v>332.99492385786812</v>
      </c>
      <c r="AQ11">
        <v>332.99492385786812</v>
      </c>
    </row>
    <row r="13" spans="1:43" x14ac:dyDescent="0.3">
      <c r="AL13">
        <f>AVERAGE(AL2:AL11)</f>
        <v>8.7196724561985626</v>
      </c>
      <c r="AM13">
        <f t="shared" ref="AM13:AQ13" si="0">AVERAGE(AM2:AM11)</f>
        <v>17.228499827235012</v>
      </c>
      <c r="AN13">
        <f t="shared" si="0"/>
        <v>13.554816077132825</v>
      </c>
      <c r="AO13">
        <f t="shared" si="0"/>
        <v>33.611346991321717</v>
      </c>
      <c r="AP13">
        <f t="shared" si="0"/>
        <v>17.228499827235012</v>
      </c>
      <c r="AQ13">
        <f t="shared" si="0"/>
        <v>34.943955686973894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"/>
  <sheetViews>
    <sheetView workbookViewId="0"/>
  </sheetViews>
  <sheetFormatPr baseColWidth="10" defaultColWidth="8.88671875" defaultRowHeight="14.4" x14ac:dyDescent="0.3"/>
  <sheetData>
    <row r="1" spans="1:11" x14ac:dyDescent="0.3">
      <c r="A1" s="1" t="s">
        <v>76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  <c r="K1" s="1" t="s">
        <v>86</v>
      </c>
    </row>
    <row r="2" spans="1:11" x14ac:dyDescent="0.3">
      <c r="A2" t="s">
        <v>87</v>
      </c>
      <c r="B2">
        <v>10</v>
      </c>
      <c r="C2">
        <v>3124.8</v>
      </c>
      <c r="D2">
        <v>2751.8</v>
      </c>
      <c r="E2">
        <v>2675.666666666667</v>
      </c>
      <c r="F2">
        <v>2806.1111111111109</v>
      </c>
      <c r="G2">
        <v>2847.3</v>
      </c>
      <c r="H2">
        <v>2675.666666666667</v>
      </c>
      <c r="I2">
        <v>2786</v>
      </c>
      <c r="J2">
        <v>951.65280675888062</v>
      </c>
      <c r="K2">
        <v>8.7196724561985643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Per Node Results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Angie Paola</cp:lastModifiedBy>
  <dcterms:created xsi:type="dcterms:W3CDTF">2026-05-26T02:52:12Z</dcterms:created>
  <dcterms:modified xsi:type="dcterms:W3CDTF">2026-05-26T02:54:42Z</dcterms:modified>
</cp:coreProperties>
</file>