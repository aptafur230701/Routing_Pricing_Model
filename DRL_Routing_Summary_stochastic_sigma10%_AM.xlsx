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9faf7a5fe1343c6/Desktop/Maestria/Tesis MSc/RoutingModel/"/>
    </mc:Choice>
  </mc:AlternateContent>
  <xr:revisionPtr revIDLastSave="35" documentId="11_8B418FE7A3AC9DB39A77A79623358AD3C21CA036" xr6:coauthVersionLast="47" xr6:coauthVersionMax="47" xr10:uidLastSave="{1A43F6FB-DFA8-45E3-BF80-140DABD45E9B}"/>
  <bookViews>
    <workbookView xWindow="-108" yWindow="-108" windowWidth="23256" windowHeight="12456" xr2:uid="{00000000-000D-0000-FFFF-FFFF00000000}"/>
  </bookViews>
  <sheets>
    <sheet name="Per Nod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3" i="1" l="1"/>
  <c r="AD13" i="1"/>
  <c r="AE13" i="1"/>
  <c r="AB13" i="1"/>
</calcChain>
</file>

<file path=xl/sharedStrings.xml><?xml version="1.0" encoding="utf-8"?>
<sst xmlns="http://schemas.openxmlformats.org/spreadsheetml/2006/main" count="111" uniqueCount="77">
  <si>
    <t>Start Node</t>
  </si>
  <si>
    <t>Day Index</t>
  </si>
  <si>
    <t>DRL Route</t>
  </si>
  <si>
    <t>DRL Reward</t>
  </si>
  <si>
    <t>DRL Duration</t>
  </si>
  <si>
    <t>DRL Valid</t>
  </si>
  <si>
    <t>DRL Stoch Mean</t>
  </si>
  <si>
    <t>DRL Stoch Std</t>
  </si>
  <si>
    <t>DRL Stoch Valid%</t>
  </si>
  <si>
    <t>MIP Status</t>
  </si>
  <si>
    <t>MIP Route</t>
  </si>
  <si>
    <t>MIP Reward</t>
  </si>
  <si>
    <t>MIP Duration</t>
  </si>
  <si>
    <t>MIP Valid</t>
  </si>
  <si>
    <t>Heuristic Route</t>
  </si>
  <si>
    <t>Heuristic Reward</t>
  </si>
  <si>
    <t>Heuristic Duration</t>
  </si>
  <si>
    <t>Heuristic Valid</t>
  </si>
  <si>
    <t>2Opt Route</t>
  </si>
  <si>
    <t>2Opt Reward</t>
  </si>
  <si>
    <t>2Opt Duration</t>
  </si>
  <si>
    <t>2Opt Valid</t>
  </si>
  <si>
    <t>GA Status</t>
  </si>
  <si>
    <t>GA Route</t>
  </si>
  <si>
    <t>LNS Reward</t>
  </si>
  <si>
    <t>LNS Duration</t>
  </si>
  <si>
    <t>LNS Valid</t>
  </si>
  <si>
    <t>DRL Gap (%)</t>
  </si>
  <si>
    <t>Heuristic Gap (%)</t>
  </si>
  <si>
    <t>2Opt Gap (%)</t>
  </si>
  <si>
    <t>LNS Gap (%)</t>
  </si>
  <si>
    <t>[0, 6, 2, 1, 0]</t>
  </si>
  <si>
    <t>Optimal</t>
  </si>
  <si>
    <t>[0, 6, 1, 2, 0]</t>
  </si>
  <si>
    <t>[0, 2, 1, 6, 0]</t>
  </si>
  <si>
    <t>[0, 1, 2, 6, 0]</t>
  </si>
  <si>
    <t>[1, 4, 1]</t>
  </si>
  <si>
    <t>[1, 7, 2, 6, 1]</t>
  </si>
  <si>
    <t>[1, 5, 9, 1]</t>
  </si>
  <si>
    <t>[1, 0, 2, 6, 1]</t>
  </si>
  <si>
    <t>[2, 0, 7, 2]</t>
  </si>
  <si>
    <t>[2, 8, 0, 7, 2]</t>
  </si>
  <si>
    <t>[2, 5, 3, 4, 2]</t>
  </si>
  <si>
    <t>[2, 1, 4, 2]</t>
  </si>
  <si>
    <t>[3, 5, 2, 3]</t>
  </si>
  <si>
    <t>[3, 4, 2, 5, 3]</t>
  </si>
  <si>
    <t>[3, 4, 5, 9, 3]</t>
  </si>
  <si>
    <t>[3, 4, 9, 5, 3]</t>
  </si>
  <si>
    <t>[4, 2, 8, 1, 4]</t>
  </si>
  <si>
    <t>[4, 1, 8, 2, 4]</t>
  </si>
  <si>
    <t>[4, 1, 2, 4]</t>
  </si>
  <si>
    <t>[5, 2, 3, 5]</t>
  </si>
  <si>
    <t>[5, 1, 5]</t>
  </si>
  <si>
    <t>[5, 1, 9, 5]</t>
  </si>
  <si>
    <t>[5, 3, 4, 2, 5]</t>
  </si>
  <si>
    <t>[6, 2, 7, 6]</t>
  </si>
  <si>
    <t>[6, 0, 2, 7, 6]</t>
  </si>
  <si>
    <t>[6, 2, 7, 1, 6]</t>
  </si>
  <si>
    <t>[7, 0, 6, 1, 7]</t>
  </si>
  <si>
    <t>[7, 2, 9, 1, 7]</t>
  </si>
  <si>
    <t>[8, 7, 0, 6, 8]</t>
  </si>
  <si>
    <t>[8, 6, 1, 2, 8]</t>
  </si>
  <si>
    <t>[8, 5, 8]</t>
  </si>
  <si>
    <t>[9, 6, 0, 1, 9]</t>
  </si>
  <si>
    <t>[9, 2, 1, 6, 9]</t>
  </si>
  <si>
    <t>[9, 2, 5, 9]</t>
  </si>
  <si>
    <t>[9, 2, 7, 6, 9]</t>
  </si>
  <si>
    <t>Model</t>
  </si>
  <si>
    <t>Node Size</t>
  </si>
  <si>
    <t>MIP Avg Reward</t>
  </si>
  <si>
    <t>DRL Avg Reward</t>
  </si>
  <si>
    <t>Heuristic Avg</t>
  </si>
  <si>
    <t>2Opt Avg</t>
  </si>
  <si>
    <t>GA Avg</t>
  </si>
  <si>
    <t>DRL Training Time</t>
  </si>
  <si>
    <t>DRL Avg Gap (%)</t>
  </si>
  <si>
    <t>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</si>
</sst>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3"/>
  <sheetViews>
    <sheetView tabSelected="1" topLeftCell="V1" workbookViewId="0">
      <selection activeCell="AE17" sqref="AE17"/>
    </sheetView>
  </sheetViews>
  <sheetFormatPr baseColWidth="10" defaultColWidth="8.88671875" defaultRowHeight="14.4" x14ac:dyDescent="0.3"/>
  <cols>
    <col min="3" max="3" width="15" customWidth="1"/>
    <col min="4" max="4" width="11.109375" customWidth="1"/>
    <col min="5" max="5" width="11.88671875" customWidth="1"/>
    <col min="6" max="6" width="11.5546875" customWidth="1"/>
    <col min="7" max="7" width="17.77734375" customWidth="1"/>
    <col min="8" max="8" width="13.6640625" customWidth="1"/>
    <col min="9" max="9" width="8.88671875" customWidth="1"/>
    <col min="10" max="10" width="12.109375" customWidth="1"/>
    <col min="11" max="11" width="15.77734375" customWidth="1"/>
    <col min="12" max="12" width="14.44140625" customWidth="1"/>
    <col min="13" max="13" width="15.88671875" customWidth="1"/>
    <col min="14" max="15" width="14.5546875" customWidth="1"/>
    <col min="16" max="16" width="14.77734375" customWidth="1"/>
    <col min="17" max="17" width="16" customWidth="1"/>
    <col min="18" max="18" width="14.21875" customWidth="1"/>
    <col min="19" max="19" width="13.21875" customWidth="1"/>
    <col min="20" max="20" width="14.109375" customWidth="1"/>
    <col min="21" max="21" width="13.21875" customWidth="1"/>
    <col min="22" max="22" width="15" customWidth="1"/>
    <col min="25" max="25" width="16.21875" customWidth="1"/>
    <col min="27" max="27" width="15.33203125" customWidth="1"/>
    <col min="28" max="28" width="15.21875" customWidth="1"/>
    <col min="29" max="29" width="15.5546875" customWidth="1"/>
    <col min="30" max="30" width="17.44140625" customWidth="1"/>
    <col min="31" max="31" width="16.6640625" customWidth="1"/>
  </cols>
  <sheetData>
    <row r="1" spans="1:3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3">
      <c r="A2">
        <v>0</v>
      </c>
      <c r="B2">
        <v>47</v>
      </c>
      <c r="C2" t="s">
        <v>31</v>
      </c>
      <c r="D2">
        <v>4403</v>
      </c>
      <c r="E2">
        <v>56.8</v>
      </c>
      <c r="F2" t="b">
        <v>1</v>
      </c>
      <c r="G2">
        <v>4355.0707028250999</v>
      </c>
      <c r="H2">
        <v>444.22876624471252</v>
      </c>
      <c r="I2">
        <v>100</v>
      </c>
      <c r="J2" t="s">
        <v>32</v>
      </c>
      <c r="K2" t="s">
        <v>33</v>
      </c>
      <c r="L2">
        <v>4973</v>
      </c>
      <c r="M2">
        <v>66.2</v>
      </c>
      <c r="N2" t="b">
        <v>1</v>
      </c>
      <c r="O2" t="s">
        <v>34</v>
      </c>
      <c r="P2">
        <v>3960</v>
      </c>
      <c r="Q2">
        <v>65.599999999999994</v>
      </c>
      <c r="R2" t="b">
        <v>1</v>
      </c>
      <c r="S2" t="s">
        <v>35</v>
      </c>
      <c r="T2">
        <v>4403</v>
      </c>
      <c r="U2">
        <v>56.8</v>
      </c>
      <c r="V2" t="b">
        <v>1</v>
      </c>
      <c r="W2" t="s">
        <v>32</v>
      </c>
      <c r="X2" t="s">
        <v>33</v>
      </c>
      <c r="Y2">
        <v>4973</v>
      </c>
      <c r="Z2">
        <v>66.2</v>
      </c>
      <c r="AA2" t="b">
        <v>1</v>
      </c>
      <c r="AB2">
        <v>11.46189422883571</v>
      </c>
      <c r="AC2">
        <v>20.369997989141361</v>
      </c>
      <c r="AD2">
        <v>11.46189422883571</v>
      </c>
      <c r="AE2">
        <v>0</v>
      </c>
    </row>
    <row r="3" spans="1:31" x14ac:dyDescent="0.3">
      <c r="A3">
        <v>1</v>
      </c>
      <c r="B3">
        <v>78</v>
      </c>
      <c r="C3" t="s">
        <v>36</v>
      </c>
      <c r="D3">
        <v>4724</v>
      </c>
      <c r="E3">
        <v>65.900000000000006</v>
      </c>
      <c r="F3" t="b">
        <v>1</v>
      </c>
      <c r="G3">
        <v>4680.5560755790266</v>
      </c>
      <c r="H3">
        <v>296.95403369319951</v>
      </c>
      <c r="I3">
        <v>100</v>
      </c>
      <c r="J3" t="s">
        <v>32</v>
      </c>
      <c r="K3" t="s">
        <v>37</v>
      </c>
      <c r="L3">
        <v>5153</v>
      </c>
      <c r="M3">
        <v>74.399999999999991</v>
      </c>
      <c r="N3" t="b">
        <v>1</v>
      </c>
      <c r="O3" t="s">
        <v>38</v>
      </c>
      <c r="P3">
        <v>-1995</v>
      </c>
      <c r="Q3">
        <v>75</v>
      </c>
      <c r="R3" t="b">
        <v>1</v>
      </c>
      <c r="S3" t="s">
        <v>38</v>
      </c>
      <c r="T3">
        <v>-1995</v>
      </c>
      <c r="U3">
        <v>75</v>
      </c>
      <c r="V3" t="b">
        <v>1</v>
      </c>
      <c r="W3" t="s">
        <v>32</v>
      </c>
      <c r="X3" t="s">
        <v>39</v>
      </c>
      <c r="Y3">
        <v>4794</v>
      </c>
      <c r="Z3">
        <v>66.2</v>
      </c>
      <c r="AA3" t="b">
        <v>1</v>
      </c>
      <c r="AB3">
        <v>8.3252474286823208</v>
      </c>
      <c r="AC3">
        <v>138.71531146904721</v>
      </c>
      <c r="AD3">
        <v>138.71531146904721</v>
      </c>
      <c r="AE3">
        <v>6.9668154473122446</v>
      </c>
    </row>
    <row r="4" spans="1:31" x14ac:dyDescent="0.3">
      <c r="A4">
        <v>2</v>
      </c>
      <c r="B4">
        <v>8</v>
      </c>
      <c r="C4" t="s">
        <v>40</v>
      </c>
      <c r="D4">
        <v>3213</v>
      </c>
      <c r="E4">
        <v>68.3</v>
      </c>
      <c r="F4" t="b">
        <v>1</v>
      </c>
      <c r="G4">
        <v>3235.7185708012248</v>
      </c>
      <c r="H4">
        <v>335.64455756205439</v>
      </c>
      <c r="I4">
        <v>100</v>
      </c>
      <c r="J4" t="s">
        <v>32</v>
      </c>
      <c r="K4" t="s">
        <v>41</v>
      </c>
      <c r="L4">
        <v>3968</v>
      </c>
      <c r="M4">
        <v>71.5</v>
      </c>
      <c r="N4" t="b">
        <v>1</v>
      </c>
      <c r="O4" t="s">
        <v>42</v>
      </c>
      <c r="P4">
        <v>3508</v>
      </c>
      <c r="Q4">
        <v>76.3</v>
      </c>
      <c r="R4" t="b">
        <v>1</v>
      </c>
      <c r="S4" t="s">
        <v>42</v>
      </c>
      <c r="T4">
        <v>3508</v>
      </c>
      <c r="U4">
        <v>76.3</v>
      </c>
      <c r="V4" t="b">
        <v>1</v>
      </c>
      <c r="W4" t="s">
        <v>32</v>
      </c>
      <c r="X4" t="s">
        <v>43</v>
      </c>
      <c r="Y4">
        <v>3906</v>
      </c>
      <c r="Z4">
        <v>69.599999999999994</v>
      </c>
      <c r="AA4" t="b">
        <v>1</v>
      </c>
      <c r="AB4">
        <v>19.02721774193548</v>
      </c>
      <c r="AC4">
        <v>11.59274193548387</v>
      </c>
      <c r="AD4">
        <v>11.59274193548387</v>
      </c>
      <c r="AE4">
        <v>1.5625</v>
      </c>
    </row>
    <row r="5" spans="1:31" x14ac:dyDescent="0.3">
      <c r="A5">
        <v>3</v>
      </c>
      <c r="B5">
        <v>42</v>
      </c>
      <c r="C5" t="s">
        <v>44</v>
      </c>
      <c r="D5">
        <v>2855</v>
      </c>
      <c r="E5">
        <v>74.900000000000006</v>
      </c>
      <c r="F5" t="b">
        <v>1</v>
      </c>
      <c r="G5">
        <v>2805.0235672575059</v>
      </c>
      <c r="H5">
        <v>356.30566752315428</v>
      </c>
      <c r="I5">
        <v>100</v>
      </c>
      <c r="J5" t="s">
        <v>32</v>
      </c>
      <c r="K5" t="s">
        <v>45</v>
      </c>
      <c r="L5">
        <v>3733</v>
      </c>
      <c r="M5">
        <v>76.3</v>
      </c>
      <c r="N5" t="b">
        <v>1</v>
      </c>
      <c r="O5" t="s">
        <v>46</v>
      </c>
      <c r="P5">
        <v>-4144</v>
      </c>
      <c r="Q5">
        <v>72.599999999999994</v>
      </c>
      <c r="R5" t="b">
        <v>1</v>
      </c>
      <c r="S5" t="s">
        <v>47</v>
      </c>
      <c r="T5">
        <v>-3263</v>
      </c>
      <c r="U5">
        <v>62.8</v>
      </c>
      <c r="V5" t="b">
        <v>1</v>
      </c>
      <c r="W5" t="s">
        <v>32</v>
      </c>
      <c r="X5" t="s">
        <v>45</v>
      </c>
      <c r="Y5">
        <v>3733</v>
      </c>
      <c r="Z5">
        <v>76.3</v>
      </c>
      <c r="AA5" t="b">
        <v>1</v>
      </c>
      <c r="AB5">
        <v>23.519957139030272</v>
      </c>
      <c r="AC5">
        <v>211.00991159924999</v>
      </c>
      <c r="AD5">
        <v>187.40959014197699</v>
      </c>
      <c r="AE5">
        <v>0</v>
      </c>
    </row>
    <row r="6" spans="1:31" x14ac:dyDescent="0.3">
      <c r="A6">
        <v>4</v>
      </c>
      <c r="B6">
        <v>70</v>
      </c>
      <c r="C6" t="s">
        <v>48</v>
      </c>
      <c r="D6">
        <v>4961</v>
      </c>
      <c r="E6">
        <v>73</v>
      </c>
      <c r="F6" t="b">
        <v>1</v>
      </c>
      <c r="G6">
        <v>5016.5030352488911</v>
      </c>
      <c r="H6">
        <v>336.21459581352519</v>
      </c>
      <c r="I6">
        <v>100</v>
      </c>
      <c r="J6" t="s">
        <v>32</v>
      </c>
      <c r="K6" t="s">
        <v>49</v>
      </c>
      <c r="L6">
        <v>4961</v>
      </c>
      <c r="M6">
        <v>73</v>
      </c>
      <c r="N6" t="b">
        <v>1</v>
      </c>
      <c r="O6" t="s">
        <v>50</v>
      </c>
      <c r="P6">
        <v>4814</v>
      </c>
      <c r="Q6">
        <v>69.099999999999994</v>
      </c>
      <c r="R6" t="b">
        <v>1</v>
      </c>
      <c r="S6" t="s">
        <v>50</v>
      </c>
      <c r="T6">
        <v>4814</v>
      </c>
      <c r="U6">
        <v>69.099999999999994</v>
      </c>
      <c r="V6" t="b">
        <v>1</v>
      </c>
      <c r="W6" t="s">
        <v>32</v>
      </c>
      <c r="X6" t="s">
        <v>49</v>
      </c>
      <c r="Y6">
        <v>4961</v>
      </c>
      <c r="Z6">
        <v>73</v>
      </c>
      <c r="AA6" t="b">
        <v>1</v>
      </c>
      <c r="AB6">
        <v>0</v>
      </c>
      <c r="AC6">
        <v>2.963112275750857</v>
      </c>
      <c r="AD6">
        <v>2.963112275750857</v>
      </c>
      <c r="AE6">
        <v>0</v>
      </c>
    </row>
    <row r="7" spans="1:31" x14ac:dyDescent="0.3">
      <c r="A7">
        <v>5</v>
      </c>
      <c r="B7">
        <v>66</v>
      </c>
      <c r="C7" t="s">
        <v>51</v>
      </c>
      <c r="D7">
        <v>3416</v>
      </c>
      <c r="E7">
        <v>74.900000000000006</v>
      </c>
      <c r="F7" t="b">
        <v>1</v>
      </c>
      <c r="G7">
        <v>3432.4471536167011</v>
      </c>
      <c r="H7">
        <v>363.92415914948867</v>
      </c>
      <c r="I7">
        <v>100</v>
      </c>
      <c r="J7" t="s">
        <v>32</v>
      </c>
      <c r="K7" t="s">
        <v>52</v>
      </c>
      <c r="L7">
        <v>4831</v>
      </c>
      <c r="M7">
        <v>74.8</v>
      </c>
      <c r="N7" t="b">
        <v>1</v>
      </c>
      <c r="O7" t="s">
        <v>53</v>
      </c>
      <c r="P7">
        <v>-1602</v>
      </c>
      <c r="Q7">
        <v>74.900000000000006</v>
      </c>
      <c r="R7" t="b">
        <v>1</v>
      </c>
      <c r="S7" t="s">
        <v>53</v>
      </c>
      <c r="T7">
        <v>-1602</v>
      </c>
      <c r="U7">
        <v>74.900000000000006</v>
      </c>
      <c r="V7" t="b">
        <v>1</v>
      </c>
      <c r="W7" t="s">
        <v>32</v>
      </c>
      <c r="X7" t="s">
        <v>54</v>
      </c>
      <c r="Y7">
        <v>3490</v>
      </c>
      <c r="Z7">
        <v>76.300000000000011</v>
      </c>
      <c r="AA7" t="b">
        <v>1</v>
      </c>
      <c r="AB7">
        <v>29.29000206996481</v>
      </c>
      <c r="AC7">
        <v>133.1608362657835</v>
      </c>
      <c r="AD7">
        <v>133.1608362657835</v>
      </c>
      <c r="AE7">
        <v>27.758228110122129</v>
      </c>
    </row>
    <row r="8" spans="1:31" x14ac:dyDescent="0.3">
      <c r="A8">
        <v>6</v>
      </c>
      <c r="B8">
        <v>64</v>
      </c>
      <c r="C8" t="s">
        <v>55</v>
      </c>
      <c r="D8">
        <v>3719</v>
      </c>
      <c r="E8">
        <v>49.099999999999987</v>
      </c>
      <c r="F8" t="b">
        <v>1</v>
      </c>
      <c r="G8">
        <v>3661.754741472223</v>
      </c>
      <c r="H8">
        <v>338.15327146932083</v>
      </c>
      <c r="I8">
        <v>100</v>
      </c>
      <c r="J8" t="s">
        <v>32</v>
      </c>
      <c r="K8" t="s">
        <v>56</v>
      </c>
      <c r="L8">
        <v>4894</v>
      </c>
      <c r="M8">
        <v>69.3</v>
      </c>
      <c r="N8" t="b">
        <v>1</v>
      </c>
      <c r="O8" t="s">
        <v>57</v>
      </c>
      <c r="P8">
        <v>4622</v>
      </c>
      <c r="Q8">
        <v>74.400000000000006</v>
      </c>
      <c r="R8" t="b">
        <v>1</v>
      </c>
      <c r="S8" t="s">
        <v>57</v>
      </c>
      <c r="T8">
        <v>4622</v>
      </c>
      <c r="U8">
        <v>74.400000000000006</v>
      </c>
      <c r="V8" t="b">
        <v>1</v>
      </c>
      <c r="W8" t="s">
        <v>32</v>
      </c>
      <c r="X8" t="s">
        <v>56</v>
      </c>
      <c r="Y8">
        <v>4894</v>
      </c>
      <c r="Z8">
        <v>69.3</v>
      </c>
      <c r="AA8" t="b">
        <v>1</v>
      </c>
      <c r="AB8">
        <v>24.00899060073559</v>
      </c>
      <c r="AC8">
        <v>5.5578259092766658</v>
      </c>
      <c r="AD8">
        <v>5.5578259092766658</v>
      </c>
      <c r="AE8">
        <v>0</v>
      </c>
    </row>
    <row r="9" spans="1:31" x14ac:dyDescent="0.3">
      <c r="A9">
        <v>7</v>
      </c>
      <c r="B9">
        <v>28</v>
      </c>
      <c r="C9" t="s">
        <v>58</v>
      </c>
      <c r="D9">
        <v>3502</v>
      </c>
      <c r="E9">
        <v>66.8</v>
      </c>
      <c r="F9" t="b">
        <v>1</v>
      </c>
      <c r="G9">
        <v>3547.279159140428</v>
      </c>
      <c r="H9">
        <v>387.70185657207128</v>
      </c>
      <c r="I9">
        <v>100</v>
      </c>
      <c r="J9" t="s">
        <v>32</v>
      </c>
      <c r="K9" t="s">
        <v>59</v>
      </c>
      <c r="L9">
        <v>6128</v>
      </c>
      <c r="M9">
        <v>76.8</v>
      </c>
      <c r="N9" t="b">
        <v>1</v>
      </c>
      <c r="O9" t="s">
        <v>59</v>
      </c>
      <c r="P9">
        <v>6128</v>
      </c>
      <c r="Q9">
        <v>76.8</v>
      </c>
      <c r="R9" t="b">
        <v>1</v>
      </c>
      <c r="S9" t="s">
        <v>59</v>
      </c>
      <c r="T9">
        <v>6128</v>
      </c>
      <c r="U9">
        <v>76.8</v>
      </c>
      <c r="V9" t="b">
        <v>1</v>
      </c>
      <c r="W9" t="s">
        <v>32</v>
      </c>
      <c r="X9" t="s">
        <v>59</v>
      </c>
      <c r="Y9">
        <v>6128</v>
      </c>
      <c r="Z9">
        <v>76.8</v>
      </c>
      <c r="AA9" t="b">
        <v>1</v>
      </c>
      <c r="AB9">
        <v>42.85248041775457</v>
      </c>
      <c r="AC9">
        <v>0</v>
      </c>
      <c r="AD9">
        <v>0</v>
      </c>
      <c r="AE9">
        <v>0</v>
      </c>
    </row>
    <row r="10" spans="1:31" x14ac:dyDescent="0.3">
      <c r="A10">
        <v>8</v>
      </c>
      <c r="B10">
        <v>33</v>
      </c>
      <c r="C10" t="s">
        <v>60</v>
      </c>
      <c r="D10">
        <v>3406</v>
      </c>
      <c r="E10">
        <v>63.000000000000007</v>
      </c>
      <c r="F10" t="b">
        <v>1</v>
      </c>
      <c r="G10">
        <v>3430.8570980299141</v>
      </c>
      <c r="H10">
        <v>354.56198797382859</v>
      </c>
      <c r="I10">
        <v>100</v>
      </c>
      <c r="J10" t="s">
        <v>32</v>
      </c>
      <c r="K10" t="s">
        <v>61</v>
      </c>
      <c r="L10">
        <v>3786</v>
      </c>
      <c r="M10">
        <v>45.4</v>
      </c>
      <c r="N10" t="b">
        <v>1</v>
      </c>
      <c r="O10" t="s">
        <v>62</v>
      </c>
      <c r="P10">
        <v>3632</v>
      </c>
      <c r="Q10">
        <v>76.8</v>
      </c>
      <c r="R10" t="b">
        <v>1</v>
      </c>
      <c r="S10" t="s">
        <v>62</v>
      </c>
      <c r="T10">
        <v>3632</v>
      </c>
      <c r="U10">
        <v>76.8</v>
      </c>
      <c r="V10" t="b">
        <v>1</v>
      </c>
      <c r="W10" t="s">
        <v>32</v>
      </c>
      <c r="X10" t="s">
        <v>62</v>
      </c>
      <c r="Y10">
        <v>3632</v>
      </c>
      <c r="Z10">
        <v>76.8</v>
      </c>
      <c r="AA10" t="b">
        <v>1</v>
      </c>
      <c r="AB10">
        <v>10.03697834125726</v>
      </c>
      <c r="AC10">
        <v>4.0676175382989959</v>
      </c>
      <c r="AD10">
        <v>4.0676175382989959</v>
      </c>
      <c r="AE10">
        <v>4.0676175382989959</v>
      </c>
    </row>
    <row r="11" spans="1:31" x14ac:dyDescent="0.3">
      <c r="A11">
        <v>9</v>
      </c>
      <c r="B11">
        <v>14</v>
      </c>
      <c r="C11" t="s">
        <v>63</v>
      </c>
      <c r="D11">
        <v>1431</v>
      </c>
      <c r="E11">
        <v>70.099999999999994</v>
      </c>
      <c r="F11" t="b">
        <v>1</v>
      </c>
      <c r="G11">
        <v>1347.4841916191081</v>
      </c>
      <c r="H11">
        <v>383.82581561085141</v>
      </c>
      <c r="I11">
        <v>100</v>
      </c>
      <c r="J11" t="s">
        <v>32</v>
      </c>
      <c r="K11" t="s">
        <v>64</v>
      </c>
      <c r="L11">
        <v>1694</v>
      </c>
      <c r="M11">
        <v>71.600000000000009</v>
      </c>
      <c r="N11" t="b">
        <v>1</v>
      </c>
      <c r="O11" t="s">
        <v>65</v>
      </c>
      <c r="P11">
        <v>-1701</v>
      </c>
      <c r="Q11">
        <v>69.300000000000011</v>
      </c>
      <c r="R11" t="b">
        <v>1</v>
      </c>
      <c r="S11" t="s">
        <v>65</v>
      </c>
      <c r="T11">
        <v>-1701</v>
      </c>
      <c r="U11">
        <v>69.300000000000011</v>
      </c>
      <c r="V11" t="b">
        <v>1</v>
      </c>
      <c r="W11" t="s">
        <v>32</v>
      </c>
      <c r="X11" t="s">
        <v>66</v>
      </c>
      <c r="Y11">
        <v>1372</v>
      </c>
      <c r="Z11">
        <v>75.3</v>
      </c>
      <c r="AA11" t="b">
        <v>1</v>
      </c>
      <c r="AB11">
        <v>15.52538370720189</v>
      </c>
      <c r="AC11">
        <v>200.41322314049589</v>
      </c>
      <c r="AD11">
        <v>200.41322314049589</v>
      </c>
      <c r="AE11">
        <v>19.008264462809919</v>
      </c>
    </row>
    <row r="13" spans="1:31" x14ac:dyDescent="0.3">
      <c r="AB13">
        <f>AVERAGE(AB2:AB11)</f>
        <v>18.404815167539788</v>
      </c>
      <c r="AC13">
        <f t="shared" ref="AC13:AE13" si="0">AVERAGE(AC2:AC11)</f>
        <v>72.78505781225283</v>
      </c>
      <c r="AD13">
        <f t="shared" si="0"/>
        <v>69.53421529049497</v>
      </c>
      <c r="AE13">
        <f t="shared" si="0"/>
        <v>5.9363425558543295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"/>
  <sheetViews>
    <sheetView workbookViewId="0"/>
  </sheetViews>
  <sheetFormatPr baseColWidth="10" defaultColWidth="8.88671875" defaultRowHeight="14.4" x14ac:dyDescent="0.3"/>
  <sheetData>
    <row r="1" spans="1:9" x14ac:dyDescent="0.3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</row>
    <row r="2" spans="1:9" x14ac:dyDescent="0.3">
      <c r="A2" t="s">
        <v>76</v>
      </c>
      <c r="B2">
        <v>10</v>
      </c>
      <c r="C2">
        <v>4412.1000000000004</v>
      </c>
      <c r="D2">
        <v>3563</v>
      </c>
      <c r="E2">
        <v>1722.2</v>
      </c>
      <c r="F2">
        <v>1854.6</v>
      </c>
      <c r="G2">
        <v>4188.3</v>
      </c>
      <c r="H2">
        <v>4685.402284860611</v>
      </c>
      <c r="I2">
        <v>18.404815167539791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Per Node Results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Angie Paola</cp:lastModifiedBy>
  <dcterms:created xsi:type="dcterms:W3CDTF">2026-05-24T23:05:55Z</dcterms:created>
  <dcterms:modified xsi:type="dcterms:W3CDTF">2026-05-24T23:20:26Z</dcterms:modified>
</cp:coreProperties>
</file>